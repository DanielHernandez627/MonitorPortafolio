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_Base" sheetId="1" state="visible" r:id="rId1"/>
    <sheet xmlns:r="http://schemas.openxmlformats.org/officeDocument/2006/relationships" name="Resumen_Global" sheetId="2" state="visible" r:id="rId2"/>
    <sheet xmlns:r="http://schemas.openxmlformats.org/officeDocument/2006/relationships" name="Historico_Snapshots" sheetId="3" state="visible" r:id="rId3"/>
    <sheet xmlns:r="http://schemas.openxmlformats.org/officeDocument/2006/relationships" name="Historico_Precios_Ac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1A365D"/>
      </top>
      <bottom style="double">
        <color rgb="001A365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pivotButton="0" quotePrefix="0" xfId="0"/>
    <xf numFmtId="164" fontId="3" fillId="3" borderId="2" applyAlignment="1" pivotButton="0" quotePrefix="0" xfId="0">
      <alignment horizontal="right" vertical="center"/>
    </xf>
    <xf numFmtId="10" fontId="3" fillId="3" borderId="2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25" customWidth="1" min="9" max="9"/>
    <col width="24" customWidth="1" min="10" max="10"/>
    <col width="36" customWidth="1" min="11" max="11"/>
    <col width="39" customWidth="1" min="12" max="12"/>
    <col width="40" customWidth="1" min="13" max="13"/>
    <col width="26" customWidth="1" min="14" max="14"/>
    <col width="29" customWidth="1" min="15" max="15"/>
    <col width="30" customWidth="1" min="16" max="16"/>
    <col width="25" customWidth="1" min="17" max="17"/>
    <col width="29" customWidth="1" min="18" max="18"/>
    <col width="20" customWidth="1" min="19" max="19"/>
  </cols>
  <sheetData>
    <row r="1">
      <c r="A1" s="1" t="inlineStr">
        <is>
          <t>Ticker</t>
        </is>
      </c>
      <c r="B1" s="1" t="inlineStr">
        <is>
          <t>DIR_COTIZACION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Tipo</t>
        </is>
      </c>
      <c r="F1" s="1" t="inlineStr">
        <is>
          <t>Moneda</t>
        </is>
      </c>
      <c r="G1" s="1" t="inlineStr">
        <is>
          <t>TRM</t>
        </is>
      </c>
      <c r="H1" s="1" t="inlineStr">
        <is>
          <t>Cantidad</t>
        </is>
      </c>
      <c r="I1" s="1" t="inlineStr">
        <is>
          <t>Precio Promedio Compra</t>
        </is>
      </c>
      <c r="J1" s="1" t="inlineStr">
        <is>
          <t>Precio Mercado Actual</t>
        </is>
      </c>
      <c r="K1" s="1" t="inlineStr">
        <is>
          <t>Inversión Inicial (Moneda Origen)</t>
        </is>
      </c>
      <c r="L1" s="1" t="inlineStr">
        <is>
          <t>Valor Mercado Actual (Moneda Origen)</t>
        </is>
      </c>
      <c r="M1" s="1" t="inlineStr">
        <is>
          <t>Ganancia No Realizada (Moneda Origen)</t>
        </is>
      </c>
      <c r="N1" s="1" t="inlineStr">
        <is>
          <t>Inversión Inicial (COP)</t>
        </is>
      </c>
      <c r="O1" s="1" t="inlineStr">
        <is>
          <t>Valor Mercado Actual (COP)</t>
        </is>
      </c>
      <c r="P1" s="1" t="inlineStr">
        <is>
          <t>Ganancia No Realizada (COP)</t>
        </is>
      </c>
      <c r="Q1" s="1" t="inlineStr">
        <is>
          <t>Rendimiento Porcentual</t>
        </is>
      </c>
      <c r="R1" s="1" t="inlineStr">
        <is>
          <t>Dividendos Recibidos (COP)</t>
        </is>
      </c>
      <c r="S1" s="1" t="inlineStr">
        <is>
          <t>Variación Día (%)</t>
        </is>
      </c>
    </row>
    <row r="2">
      <c r="A2" s="2" t="inlineStr">
        <is>
          <t>NVDACO</t>
        </is>
      </c>
      <c r="B2" s="2" t="inlineStr">
        <is>
          <t>NVDACO.CL</t>
        </is>
      </c>
      <c r="C2" s="3" t="inlineStr">
        <is>
          <t>NVIDIA Corporation</t>
        </is>
      </c>
      <c r="D2" s="2" t="inlineStr">
        <is>
          <t>MGC</t>
        </is>
      </c>
      <c r="E2" s="2" t="inlineStr">
        <is>
          <t>Accion</t>
        </is>
      </c>
      <c r="F2" s="2" t="inlineStr">
        <is>
          <t>COP</t>
        </is>
      </c>
      <c r="G2" s="4" t="n">
        <v>1</v>
      </c>
      <c r="H2" s="5" t="n">
        <v>1</v>
      </c>
      <c r="I2" s="6" t="n">
        <v>422640</v>
      </c>
      <c r="J2" s="6" t="n">
        <v>735020</v>
      </c>
      <c r="K2" s="6">
        <f>H2*I2</f>
        <v/>
      </c>
      <c r="L2" s="6">
        <f>H2*J2</f>
        <v/>
      </c>
      <c r="M2" s="6">
        <f>L2-K2</f>
        <v/>
      </c>
      <c r="N2" s="6">
        <f>IF(F2="COP", K2, K2*G2)</f>
        <v/>
      </c>
      <c r="O2" s="6">
        <f>IF(F2="COP", L2, L2*G2)</f>
        <v/>
      </c>
      <c r="P2" s="6">
        <f>O2-N2</f>
        <v/>
      </c>
      <c r="Q2" s="7">
        <f>IFERROR(P2/N2, 0)</f>
        <v/>
      </c>
      <c r="R2" s="6" t="n">
        <v>781.15</v>
      </c>
      <c r="S2" s="7" t="n">
        <v>0</v>
      </c>
    </row>
    <row r="3">
      <c r="A3" s="2" t="inlineStr">
        <is>
          <t>MINEROS</t>
        </is>
      </c>
      <c r="B3" s="2" t="inlineStr">
        <is>
          <t>MINEROS.CL</t>
        </is>
      </c>
      <c r="C3" s="3" t="inlineStr">
        <is>
          <t>Mineros S.A.</t>
        </is>
      </c>
      <c r="D3" s="2" t="inlineStr">
        <is>
          <t>BVC</t>
        </is>
      </c>
      <c r="E3" s="2" t="inlineStr">
        <is>
          <t>Accion</t>
        </is>
      </c>
      <c r="F3" s="2" t="inlineStr">
        <is>
          <t>COP</t>
        </is>
      </c>
      <c r="G3" s="4" t="n">
        <v>1</v>
      </c>
      <c r="H3" s="5" t="n">
        <v>2</v>
      </c>
      <c r="I3" s="6" t="n">
        <v>18200</v>
      </c>
      <c r="J3" s="6" t="n">
        <v>22860</v>
      </c>
      <c r="K3" s="6">
        <f>H3*I3</f>
        <v/>
      </c>
      <c r="L3" s="6">
        <f>H3*J3</f>
        <v/>
      </c>
      <c r="M3" s="6">
        <f>L3-K3</f>
        <v/>
      </c>
      <c r="N3" s="6">
        <f>IF(F3="COP", K3, K3*G3)</f>
        <v/>
      </c>
      <c r="O3" s="6">
        <f>IF(F3="COP", L3, L3*G3)</f>
        <v/>
      </c>
      <c r="P3" s="6">
        <f>O3-N3</f>
        <v/>
      </c>
      <c r="Q3" s="7">
        <f>IFERROR(P3/N3, 0)</f>
        <v/>
      </c>
      <c r="R3" s="6" t="n">
        <v>339.1</v>
      </c>
      <c r="S3" s="7" t="n">
        <v>0</v>
      </c>
    </row>
    <row r="4">
      <c r="A4" s="2" t="inlineStr">
        <is>
          <t>LTMCO</t>
        </is>
      </c>
      <c r="B4" s="2" t="inlineStr">
        <is>
          <t>LTMCO.CL</t>
        </is>
      </c>
      <c r="C4" s="3" t="inlineStr">
        <is>
          <t>Latam Airlines</t>
        </is>
      </c>
      <c r="D4" s="2" t="inlineStr">
        <is>
          <t>MGC</t>
        </is>
      </c>
      <c r="E4" s="2" t="inlineStr">
        <is>
          <t>Accion</t>
        </is>
      </c>
      <c r="F4" s="2" t="inlineStr">
        <is>
          <t>COP</t>
        </is>
      </c>
      <c r="G4" s="4" t="n">
        <v>1</v>
      </c>
      <c r="H4" s="5" t="n">
        <v>294</v>
      </c>
      <c r="I4" s="6" t="n">
        <v>59.5</v>
      </c>
      <c r="J4" s="6" t="n">
        <v>85</v>
      </c>
      <c r="K4" s="6">
        <f>H4*I4</f>
        <v/>
      </c>
      <c r="L4" s="6">
        <f>H4*J4</f>
        <v/>
      </c>
      <c r="M4" s="6">
        <f>L4-K4</f>
        <v/>
      </c>
      <c r="N4" s="6">
        <f>IF(F4="COP", K4, K4*G4)</f>
        <v/>
      </c>
      <c r="O4" s="6">
        <f>IF(F4="COP", L4, L4*G4)</f>
        <v/>
      </c>
      <c r="P4" s="6">
        <f>O4-N4</f>
        <v/>
      </c>
      <c r="Q4" s="7">
        <f>IFERROR(P4/N4, 0)</f>
        <v/>
      </c>
      <c r="R4" s="6" t="n">
        <v>884.78</v>
      </c>
      <c r="S4" s="7" t="n">
        <v>0</v>
      </c>
    </row>
    <row r="5">
      <c r="A5" s="2" t="inlineStr">
        <is>
          <t>IUITCO</t>
        </is>
      </c>
      <c r="B5" s="2" t="inlineStr">
        <is>
          <t>IUITCO.CL</t>
        </is>
      </c>
      <c r="C5" s="3" t="inlineStr">
        <is>
          <t>iShares S&amp;P 500 Tech</t>
        </is>
      </c>
      <c r="D5" s="2" t="inlineStr">
        <is>
          <t>MGC</t>
        </is>
      </c>
      <c r="E5" s="2" t="inlineStr">
        <is>
          <t>ETF</t>
        </is>
      </c>
      <c r="F5" s="2" t="inlineStr">
        <is>
          <t>COP</t>
        </is>
      </c>
      <c r="G5" s="4" t="n">
        <v>1</v>
      </c>
      <c r="H5" s="5" t="n">
        <v>4</v>
      </c>
      <c r="I5" s="6" t="n">
        <v>85965</v>
      </c>
      <c r="J5" s="6" t="n">
        <v>183440</v>
      </c>
      <c r="K5" s="6">
        <f>H5*I5</f>
        <v/>
      </c>
      <c r="L5" s="6">
        <f>H5*J5</f>
        <v/>
      </c>
      <c r="M5" s="6">
        <f>L5-K5</f>
        <v/>
      </c>
      <c r="N5" s="6">
        <f>IF(F5="COP", K5, K5*G5)</f>
        <v/>
      </c>
      <c r="O5" s="6">
        <f>IF(F5="COP", L5, L5*G5)</f>
        <v/>
      </c>
      <c r="P5" s="6">
        <f>O5-N5</f>
        <v/>
      </c>
      <c r="Q5" s="7">
        <f>IFERROR(P5/N5, 0)</f>
        <v/>
      </c>
      <c r="R5" s="6" t="n">
        <v>0</v>
      </c>
      <c r="S5" s="7" t="n">
        <v>0</v>
      </c>
    </row>
    <row r="6">
      <c r="A6" s="2" t="inlineStr">
        <is>
          <t>ISA</t>
        </is>
      </c>
      <c r="B6" s="2" t="inlineStr">
        <is>
          <t>ISA.CL</t>
        </is>
      </c>
      <c r="C6" s="3" t="inlineStr">
        <is>
          <t>Interconexion Electrica SA</t>
        </is>
      </c>
      <c r="D6" s="2" t="inlineStr">
        <is>
          <t>BVC</t>
        </is>
      </c>
      <c r="E6" s="2" t="inlineStr">
        <is>
          <t>Accion</t>
        </is>
      </c>
      <c r="F6" s="2" t="inlineStr">
        <is>
          <t>COP</t>
        </is>
      </c>
      <c r="G6" s="4" t="n">
        <v>1</v>
      </c>
      <c r="H6" s="5" t="n">
        <v>7</v>
      </c>
      <c r="I6" s="6" t="n">
        <v>22802.5</v>
      </c>
      <c r="J6" s="6" t="n">
        <v>30020</v>
      </c>
      <c r="K6" s="6">
        <f>H6*I6</f>
        <v/>
      </c>
      <c r="L6" s="6">
        <f>H6*J6</f>
        <v/>
      </c>
      <c r="M6" s="6">
        <f>L6-K6</f>
        <v/>
      </c>
      <c r="N6" s="6">
        <f>IF(F6="COP", K6, K6*G6)</f>
        <v/>
      </c>
      <c r="O6" s="6">
        <f>IF(F6="COP", L6, L6*G6)</f>
        <v/>
      </c>
      <c r="P6" s="6">
        <f>O6-N6</f>
        <v/>
      </c>
      <c r="Q6" s="7">
        <f>IFERROR(P6/N6, 0)</f>
        <v/>
      </c>
      <c r="R6" s="6" t="n">
        <v>11163</v>
      </c>
      <c r="S6" s="7" t="n">
        <v>0</v>
      </c>
    </row>
    <row r="7">
      <c r="A7" s="2" t="inlineStr">
        <is>
          <t>ICOLCAP</t>
        </is>
      </c>
      <c r="B7" s="2" t="inlineStr">
        <is>
          <t>ICOLCAP.CL</t>
        </is>
      </c>
      <c r="C7" s="3" t="inlineStr">
        <is>
          <t>iShares Colcap ETF</t>
        </is>
      </c>
      <c r="D7" s="2" t="inlineStr">
        <is>
          <t>BVC</t>
        </is>
      </c>
      <c r="E7" s="2" t="inlineStr">
        <is>
          <t>ETF</t>
        </is>
      </c>
      <c r="F7" s="2" t="inlineStr">
        <is>
          <t>COP</t>
        </is>
      </c>
      <c r="G7" s="4" t="n">
        <v>1</v>
      </c>
      <c r="H7" s="5" t="n">
        <v>12</v>
      </c>
      <c r="I7" s="6" t="n">
        <v>11916.37</v>
      </c>
      <c r="J7" s="6" t="n">
        <v>25846</v>
      </c>
      <c r="K7" s="6">
        <f>H7*I7</f>
        <v/>
      </c>
      <c r="L7" s="6">
        <f>H7*J7</f>
        <v/>
      </c>
      <c r="M7" s="6">
        <f>L7-K7</f>
        <v/>
      </c>
      <c r="N7" s="6">
        <f>IF(F7="COP", K7, K7*G7)</f>
        <v/>
      </c>
      <c r="O7" s="6">
        <f>IF(F7="COP", L7, L7*G7)</f>
        <v/>
      </c>
      <c r="P7" s="6">
        <f>O7-N7</f>
        <v/>
      </c>
      <c r="Q7" s="7">
        <f>IFERROR(P7/N7, 0)</f>
        <v/>
      </c>
      <c r="R7" s="6" t="n">
        <v>48030.52</v>
      </c>
      <c r="S7" s="7" t="n">
        <v>0</v>
      </c>
    </row>
    <row r="8">
      <c r="A8" s="2" t="inlineStr">
        <is>
          <t>ICHNCO</t>
        </is>
      </c>
      <c r="B8" s="2" t="inlineStr">
        <is>
          <t>ICHNCO.CL</t>
        </is>
      </c>
      <c r="C8" s="3" t="inlineStr">
        <is>
          <t>iShares MSCI China UCITS</t>
        </is>
      </c>
      <c r="D8" s="2" t="inlineStr">
        <is>
          <t>MGC</t>
        </is>
      </c>
      <c r="E8" s="2" t="inlineStr">
        <is>
          <t>ETF</t>
        </is>
      </c>
      <c r="F8" s="2" t="inlineStr">
        <is>
          <t>COP</t>
        </is>
      </c>
      <c r="G8" s="4" t="n">
        <v>1</v>
      </c>
      <c r="H8" s="5" t="n">
        <v>6</v>
      </c>
      <c r="I8" s="6" t="n">
        <v>22600</v>
      </c>
      <c r="J8" s="6" t="n">
        <v>18344</v>
      </c>
      <c r="K8" s="6">
        <f>H8*I8</f>
        <v/>
      </c>
      <c r="L8" s="6">
        <f>H8*J8</f>
        <v/>
      </c>
      <c r="M8" s="6">
        <f>L8-K8</f>
        <v/>
      </c>
      <c r="N8" s="6">
        <f>IF(F8="COP", K8, K8*G8)</f>
        <v/>
      </c>
      <c r="O8" s="6">
        <f>IF(F8="COP", L8, L8*G8)</f>
        <v/>
      </c>
      <c r="P8" s="6">
        <f>O8-N8</f>
        <v/>
      </c>
      <c r="Q8" s="7">
        <f>IFERROR(P8/N8, 0)</f>
        <v/>
      </c>
      <c r="R8" s="6" t="n">
        <v>0</v>
      </c>
      <c r="S8" s="7" t="n">
        <v>0</v>
      </c>
    </row>
    <row r="9">
      <c r="A9" s="2" t="inlineStr">
        <is>
          <t>GEB</t>
        </is>
      </c>
      <c r="B9" s="2" t="inlineStr">
        <is>
          <t>GEB.CL</t>
        </is>
      </c>
      <c r="C9" s="3" t="inlineStr">
        <is>
          <t>Grupo Energia Bogota</t>
        </is>
      </c>
      <c r="D9" s="2" t="inlineStr">
        <is>
          <t>BVC</t>
        </is>
      </c>
      <c r="E9" s="2" t="inlineStr">
        <is>
          <t>Accion</t>
        </is>
      </c>
      <c r="F9" s="2" t="inlineStr">
        <is>
          <t>COP</t>
        </is>
      </c>
      <c r="G9" s="4" t="n">
        <v>1</v>
      </c>
      <c r="H9" s="5" t="n">
        <v>40</v>
      </c>
      <c r="I9" s="6" t="n">
        <v>2836.25</v>
      </c>
      <c r="J9" s="6" t="n">
        <v>3080</v>
      </c>
      <c r="K9" s="6">
        <f>H9*I9</f>
        <v/>
      </c>
      <c r="L9" s="6">
        <f>H9*J9</f>
        <v/>
      </c>
      <c r="M9" s="6">
        <f>L9-K9</f>
        <v/>
      </c>
      <c r="N9" s="6">
        <f>IF(F9="COP", K9, K9*G9)</f>
        <v/>
      </c>
      <c r="O9" s="6">
        <f>IF(F9="COP", L9, L9*G9)</f>
        <v/>
      </c>
      <c r="P9" s="6">
        <f>O9-N9</f>
        <v/>
      </c>
      <c r="Q9" s="7">
        <f>IFERROR(P9/N9, 0)</f>
        <v/>
      </c>
      <c r="R9" s="6" t="n">
        <v>8397.91</v>
      </c>
      <c r="S9" s="7" t="n">
        <v>0</v>
      </c>
    </row>
    <row r="10">
      <c r="A10" s="2" t="inlineStr">
        <is>
          <t>ETB</t>
        </is>
      </c>
      <c r="B10" s="2" t="inlineStr">
        <is>
          <t>ETB.CL</t>
        </is>
      </c>
      <c r="C10" s="3" t="inlineStr">
        <is>
          <t>Empresa Telecomunicaciones Bogota</t>
        </is>
      </c>
      <c r="D10" s="2" t="inlineStr">
        <is>
          <t>BVC</t>
        </is>
      </c>
      <c r="E10" s="2" t="inlineStr">
        <is>
          <t>Accion</t>
        </is>
      </c>
      <c r="F10" s="2" t="inlineStr">
        <is>
          <t>COP</t>
        </is>
      </c>
      <c r="G10" s="4" t="n">
        <v>1</v>
      </c>
      <c r="H10" s="5" t="n">
        <v>317</v>
      </c>
      <c r="I10" s="6" t="n">
        <v>45</v>
      </c>
      <c r="J10" s="6" t="n">
        <v>135</v>
      </c>
      <c r="K10" s="6">
        <f>H10*I10</f>
        <v/>
      </c>
      <c r="L10" s="6">
        <f>H10*J10</f>
        <v/>
      </c>
      <c r="M10" s="6">
        <f>L10-K10</f>
        <v/>
      </c>
      <c r="N10" s="6">
        <f>IF(F10="COP", K10, K10*G10)</f>
        <v/>
      </c>
      <c r="O10" s="6">
        <f>IF(F10="COP", L10, L10*G10)</f>
        <v/>
      </c>
      <c r="P10" s="6">
        <f>O10-N10</f>
        <v/>
      </c>
      <c r="Q10" s="7">
        <f>IFERROR(P10/N10, 0)</f>
        <v/>
      </c>
      <c r="R10" s="6" t="n">
        <v>0</v>
      </c>
      <c r="S10" s="7" t="n">
        <v>0</v>
      </c>
    </row>
    <row r="11">
      <c r="A11" s="2" t="inlineStr">
        <is>
          <t>ENELAMCO</t>
        </is>
      </c>
      <c r="B11" s="2" t="inlineStr">
        <is>
          <t>ENELAMCO.CL</t>
        </is>
      </c>
      <c r="C11" s="3" t="inlineStr">
        <is>
          <t>Enel Americas SA</t>
        </is>
      </c>
      <c r="D11" s="2" t="inlineStr">
        <is>
          <t>MGC</t>
        </is>
      </c>
      <c r="E11" s="2" t="inlineStr">
        <is>
          <t>Accion</t>
        </is>
      </c>
      <c r="F11" s="2" t="inlineStr">
        <is>
          <t>COP</t>
        </is>
      </c>
      <c r="G11" s="4" t="n">
        <v>1</v>
      </c>
      <c r="H11" s="5" t="n">
        <v>100</v>
      </c>
      <c r="I11" s="6" t="n">
        <v>401</v>
      </c>
      <c r="J11" s="6" t="n">
        <v>295</v>
      </c>
      <c r="K11" s="6">
        <f>H11*I11</f>
        <v/>
      </c>
      <c r="L11" s="6">
        <f>H11*J11</f>
        <v/>
      </c>
      <c r="M11" s="6">
        <f>L11-K11</f>
        <v/>
      </c>
      <c r="N11" s="6">
        <f>IF(F11="COP", K11, K11*G11)</f>
        <v/>
      </c>
      <c r="O11" s="6">
        <f>IF(F11="COP", L11, L11*G11)</f>
        <v/>
      </c>
      <c r="P11" s="6">
        <f>O11-N11</f>
        <v/>
      </c>
      <c r="Q11" s="7">
        <f>IFERROR(P11/N11, 0)</f>
        <v/>
      </c>
      <c r="R11" s="6" t="n">
        <v>1719.29</v>
      </c>
      <c r="S11" s="7" t="n">
        <v>0</v>
      </c>
    </row>
    <row r="12">
      <c r="A12" s="2" t="inlineStr">
        <is>
          <t>ECOPETROL</t>
        </is>
      </c>
      <c r="B12" s="2" t="inlineStr">
        <is>
          <t>ECOPETROL.CL</t>
        </is>
      </c>
      <c r="C12" s="3" t="inlineStr">
        <is>
          <t>Ecopetrol S.A.</t>
        </is>
      </c>
      <c r="D12" s="2" t="inlineStr">
        <is>
          <t>BVC</t>
        </is>
      </c>
      <c r="E12" s="2" t="inlineStr">
        <is>
          <t>Accion</t>
        </is>
      </c>
      <c r="F12" s="2" t="inlineStr">
        <is>
          <t>COP</t>
        </is>
      </c>
      <c r="G12" s="4" t="n">
        <v>1</v>
      </c>
      <c r="H12" s="5" t="n">
        <v>86</v>
      </c>
      <c r="I12" s="6" t="n">
        <v>1995.25</v>
      </c>
      <c r="J12" s="6" t="n">
        <v>2740</v>
      </c>
      <c r="K12" s="6">
        <f>H12*I12</f>
        <v/>
      </c>
      <c r="L12" s="6">
        <f>H12*J12</f>
        <v/>
      </c>
      <c r="M12" s="6">
        <f>L12-K12</f>
        <v/>
      </c>
      <c r="N12" s="6">
        <f>IF(F12="COP", K12, K12*G12)</f>
        <v/>
      </c>
      <c r="O12" s="6">
        <f>IF(F12="COP", L12, L12*G12)</f>
        <v/>
      </c>
      <c r="P12" s="6">
        <f>O12-N12</f>
        <v/>
      </c>
      <c r="Q12" s="7">
        <f>IFERROR(P12/N12, 0)</f>
        <v/>
      </c>
      <c r="R12" s="6" t="n">
        <v>38468.99</v>
      </c>
      <c r="S12" s="7" t="n">
        <v>0</v>
      </c>
    </row>
    <row r="13">
      <c r="A13" s="2" t="inlineStr">
        <is>
          <t>CIBEST</t>
        </is>
      </c>
      <c r="B13" s="2" t="inlineStr">
        <is>
          <t>CIBEST.CL</t>
        </is>
      </c>
      <c r="C13" s="3" t="inlineStr">
        <is>
          <t>Bancolombia</t>
        </is>
      </c>
      <c r="D13" s="2" t="inlineStr">
        <is>
          <t>BVC</t>
        </is>
      </c>
      <c r="E13" s="2" t="inlineStr">
        <is>
          <t>Accion</t>
        </is>
      </c>
      <c r="F13" s="2" t="inlineStr">
        <is>
          <t>COP</t>
        </is>
      </c>
      <c r="G13" s="4" t="n">
        <v>1</v>
      </c>
      <c r="H13" s="5" t="n">
        <v>2</v>
      </c>
      <c r="I13" s="6" t="n">
        <v>35100</v>
      </c>
      <c r="J13" s="6" t="n">
        <v>89600</v>
      </c>
      <c r="K13" s="6">
        <f>H13*I13</f>
        <v/>
      </c>
      <c r="L13" s="6">
        <f>H13*J13</f>
        <v/>
      </c>
      <c r="M13" s="6">
        <f>L13-K13</f>
        <v/>
      </c>
      <c r="N13" s="6">
        <f>IF(F13="COP", K13, K13*G13)</f>
        <v/>
      </c>
      <c r="O13" s="6">
        <f>IF(F13="COP", L13, L13*G13)</f>
        <v/>
      </c>
      <c r="P13" s="6">
        <f>O13-N13</f>
        <v/>
      </c>
      <c r="Q13" s="7">
        <f>IFERROR(P13/N13, 0)</f>
        <v/>
      </c>
      <c r="R13" s="6" t="n">
        <v>6164</v>
      </c>
      <c r="S13" s="7" t="n">
        <v>0</v>
      </c>
    </row>
    <row r="14">
      <c r="A14" s="2" t="inlineStr">
        <is>
          <t>AMDVASCO</t>
        </is>
      </c>
      <c r="B14" s="2" t="inlineStr">
        <is>
          <t>AMDVASCCO.CL</t>
        </is>
      </c>
      <c r="C14" s="3" t="inlineStr">
        <is>
          <t>DVA Silicon Fund</t>
        </is>
      </c>
      <c r="D14" s="2" t="inlineStr">
        <is>
          <t>MGC</t>
        </is>
      </c>
      <c r="E14" s="2" t="inlineStr">
        <is>
          <t>Fondo/Accion</t>
        </is>
      </c>
      <c r="F14" s="2" t="inlineStr">
        <is>
          <t>COP</t>
        </is>
      </c>
      <c r="G14" s="4" t="n">
        <v>1</v>
      </c>
      <c r="H14" s="5" t="n">
        <v>6</v>
      </c>
      <c r="I14" s="6" t="n">
        <v>14300</v>
      </c>
      <c r="J14" s="6" t="n">
        <v>34220</v>
      </c>
      <c r="K14" s="6">
        <f>H14*I14</f>
        <v/>
      </c>
      <c r="L14" s="6">
        <f>H14*J14</f>
        <v/>
      </c>
      <c r="M14" s="6">
        <f>L14-K14</f>
        <v/>
      </c>
      <c r="N14" s="6">
        <f>IF(F14="COP", K14, K14*G14)</f>
        <v/>
      </c>
      <c r="O14" s="6">
        <f>IF(F14="COP", L14, L14*G14)</f>
        <v/>
      </c>
      <c r="P14" s="6">
        <f>O14-N14</f>
        <v/>
      </c>
      <c r="Q14" s="7">
        <f>IFERROR(P14/N14, 0)</f>
        <v/>
      </c>
      <c r="R14" s="6" t="n">
        <v>765.6</v>
      </c>
      <c r="S14" s="7" t="n">
        <v>0</v>
      </c>
    </row>
    <row r="15">
      <c r="A15" s="2" t="inlineStr">
        <is>
          <t>NU</t>
        </is>
      </c>
      <c r="B15" s="2" t="inlineStr">
        <is>
          <t>NU</t>
        </is>
      </c>
      <c r="C15" s="3" t="inlineStr">
        <is>
          <t>Nu Holdings Ltd.</t>
        </is>
      </c>
      <c r="D15" s="2" t="inlineStr">
        <is>
          <t>USD</t>
        </is>
      </c>
      <c r="E15" s="2" t="inlineStr">
        <is>
          <t>Accion</t>
        </is>
      </c>
      <c r="F15" s="2" t="inlineStr">
        <is>
          <t>USD</t>
        </is>
      </c>
      <c r="G15" s="6">
        <f>IFERROR(GOOGLEFINANCE("CURRENCY:USDCOP"), 4150)</f>
        <v/>
      </c>
      <c r="H15" s="5" t="n">
        <v>2</v>
      </c>
      <c r="I15" s="6" t="n">
        <v>12.45</v>
      </c>
      <c r="J15" s="6" t="n">
        <v>12.44</v>
      </c>
      <c r="K15" s="6">
        <f>H15*I15</f>
        <v/>
      </c>
      <c r="L15" s="6">
        <f>H15*J15</f>
        <v/>
      </c>
      <c r="M15" s="6">
        <f>L15-K15</f>
        <v/>
      </c>
      <c r="N15" s="6">
        <f>IF(F15="COP", K15, K15*G15)</f>
        <v/>
      </c>
      <c r="O15" s="6">
        <f>IF(F15="COP", L15, L15*G15)</f>
        <v/>
      </c>
      <c r="P15" s="6">
        <f>O15-N15</f>
        <v/>
      </c>
      <c r="Q15" s="7">
        <f>IFERROR(P15/N15, 0)</f>
        <v/>
      </c>
      <c r="R15" s="6" t="n">
        <v>0</v>
      </c>
      <c r="S15" s="7" t="n">
        <v>0</v>
      </c>
    </row>
    <row r="16">
      <c r="A16" s="2" t="inlineStr">
        <is>
          <t>ACON</t>
        </is>
      </c>
      <c r="B16" s="2" t="inlineStr">
        <is>
          <t>ACON</t>
        </is>
      </c>
      <c r="C16" s="3" t="inlineStr">
        <is>
          <t>Aclarion, Inc.</t>
        </is>
      </c>
      <c r="D16" s="2" t="inlineStr">
        <is>
          <t>USD</t>
        </is>
      </c>
      <c r="E16" s="2" t="inlineStr">
        <is>
          <t>Accion</t>
        </is>
      </c>
      <c r="F16" s="2" t="inlineStr">
        <is>
          <t>USD</t>
        </is>
      </c>
      <c r="G16" s="6">
        <f>IFERROR(GOOGLEFINANCE("CURRENCY:USDCOP"), 4150)</f>
        <v/>
      </c>
      <c r="H16" s="5" t="n">
        <v>2</v>
      </c>
      <c r="I16" s="6" t="n">
        <v>2.59</v>
      </c>
      <c r="J16" s="6" t="n">
        <v>2.39</v>
      </c>
      <c r="K16" s="6">
        <f>H16*I16</f>
        <v/>
      </c>
      <c r="L16" s="6">
        <f>H16*J16</f>
        <v/>
      </c>
      <c r="M16" s="6">
        <f>L16-K16</f>
        <v/>
      </c>
      <c r="N16" s="6">
        <f>IF(F16="COP", K16, K16*G16)</f>
        <v/>
      </c>
      <c r="O16" s="6">
        <f>IF(F16="COP", L16, L16*G16)</f>
        <v/>
      </c>
      <c r="P16" s="6">
        <f>O16-N16</f>
        <v/>
      </c>
      <c r="Q16" s="7">
        <f>IFERROR(P16/N16, 0)</f>
        <v/>
      </c>
      <c r="R16" s="6" t="n">
        <v>0</v>
      </c>
      <c r="S16" s="7" t="n">
        <v>0</v>
      </c>
    </row>
    <row r="17">
      <c r="A17" s="8" t="inlineStr">
        <is>
          <t>Total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10">
        <f>SUM(N2:N16)</f>
        <v/>
      </c>
      <c r="O17" s="10">
        <f>SUM(O2:O16)</f>
        <v/>
      </c>
      <c r="P17" s="10">
        <f>SUM(P2:P16)</f>
        <v/>
      </c>
      <c r="Q17" s="11">
        <f>IFERROR(P17/N17, 0)</f>
        <v/>
      </c>
      <c r="R17" s="10">
        <f>SUM(R2:R16)</f>
        <v/>
      </c>
      <c r="S17" s="11">
        <f>IFERROR(SUMPRODUCT(O2:O16, S2:S16)/SUM(O2:O16),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58" customWidth="1" min="3" max="3"/>
  </cols>
  <sheetData>
    <row r="1">
      <c r="A1" s="1" t="inlineStr">
        <is>
          <t>MÉTRICA / CONCEPTO</t>
        </is>
      </c>
      <c r="B1" s="1" t="inlineStr">
        <is>
          <t>VALOR CONSOLIDADO (COP)</t>
        </is>
      </c>
      <c r="C1" s="1" t="inlineStr">
        <is>
          <t>DETALLE TÉCNICO</t>
        </is>
      </c>
    </row>
    <row r="2">
      <c r="A2" s="3" t="inlineStr">
        <is>
          <t>Valor Mercado Acciones y ETFs</t>
        </is>
      </c>
      <c r="B2" s="6">
        <f>Portafolio_Base!O17</f>
        <v/>
      </c>
      <c r="C2" s="3" t="inlineStr">
        <is>
          <t>Total valorizado en COP (BVC + MGC + USA)</t>
        </is>
      </c>
    </row>
    <row r="3">
      <c r="A3" s="3" t="inlineStr">
        <is>
          <t>Inversión Inicial Total</t>
        </is>
      </c>
      <c r="B3" s="6">
        <f>Portafolio_Base!N17</f>
        <v/>
      </c>
      <c r="C3" s="3" t="inlineStr">
        <is>
          <t>Costo base consolidado en pesos colombianos</t>
        </is>
      </c>
    </row>
    <row r="4">
      <c r="A4" s="3" t="inlineStr">
        <is>
          <t>Ganancia No Realizada Total</t>
        </is>
      </c>
      <c r="B4" s="6">
        <f>Portafolio_Base!P17</f>
        <v/>
      </c>
      <c r="C4" s="3" t="inlineStr">
        <is>
          <t>Plusvalía neta acumulada</t>
        </is>
      </c>
    </row>
    <row r="5">
      <c r="A5" s="3" t="inlineStr">
        <is>
          <t>Rendimiento Ponderado Global</t>
        </is>
      </c>
      <c r="B5" s="7">
        <f>Portafolio_Base!Q17</f>
        <v/>
      </c>
      <c r="C5" s="3" t="inlineStr">
        <is>
          <t>Retorno porcentual de la cartera</t>
        </is>
      </c>
    </row>
    <row r="6">
      <c r="A6" s="3" t="inlineStr">
        <is>
          <t>Total Dividendos Recibidos</t>
        </is>
      </c>
      <c r="B6" s="6">
        <f>Portafolio_Base!R17</f>
        <v/>
      </c>
      <c r="C6" s="3" t="inlineStr">
        <is>
          <t>Flujo histórico de dividendos cobrados</t>
        </is>
      </c>
    </row>
    <row r="7">
      <c r="A7" s="3" t="inlineStr">
        <is>
          <t>Fondos Trii (FICs)</t>
        </is>
      </c>
      <c r="B7" s="6" t="n">
        <v>26364.08</v>
      </c>
      <c r="C7" s="3" t="inlineStr">
        <is>
          <t>Fondos colectivos de inversión en Trii</t>
        </is>
      </c>
    </row>
    <row r="8">
      <c r="A8" s="3" t="inlineStr">
        <is>
          <t>Saldo Disponible en Efectivo</t>
        </is>
      </c>
      <c r="B8" s="6" t="n">
        <v>14457.28</v>
      </c>
      <c r="C8" s="3" t="inlineStr">
        <is>
          <t>Liquidez sin invertir en la cuenta</t>
        </is>
      </c>
    </row>
    <row r="9">
      <c r="A9" s="12" t="inlineStr">
        <is>
          <t>PATRIMONIO TOTAL EN TRII</t>
        </is>
      </c>
      <c r="B9" s="13">
        <f>B2+B7+B8</f>
        <v/>
      </c>
      <c r="C9" s="14" t="inlineStr">
        <is>
          <t>Patrimonio neto consolidado (Acciones + Fondos + Saldo)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  <col width="20" customWidth="1" min="4" max="4"/>
    <col width="23" customWidth="1" min="5" max="5"/>
    <col width="25" customWidth="1" min="6" max="6"/>
    <col width="16" customWidth="1" min="7" max="7"/>
  </cols>
  <sheetData>
    <row r="1">
      <c r="A1" s="1" t="inlineStr">
        <is>
          <t>Fecha y Hora</t>
        </is>
      </c>
      <c r="B1" s="1" t="inlineStr">
        <is>
          <t>Inversión Inicial (COP)</t>
        </is>
      </c>
      <c r="C1" s="1" t="inlineStr">
        <is>
          <t>Valor Mercado Acciones/ETFs (COP)</t>
        </is>
      </c>
      <c r="D1" s="1" t="inlineStr">
        <is>
          <t>Fondos Trii (COP)</t>
        </is>
      </c>
      <c r="E1" s="1" t="inlineStr">
        <is>
          <t>Saldo Efectivo (COP)</t>
        </is>
      </c>
      <c r="F1" s="1" t="inlineStr">
        <is>
          <t>Patrimonio Total (COP)</t>
        </is>
      </c>
      <c r="G1" s="1" t="inlineStr">
        <is>
          <t>Rendimiento %</t>
        </is>
      </c>
    </row>
    <row r="2">
      <c r="A2" s="2" t="inlineStr">
        <is>
          <t>2026-09-30 08:30:00</t>
        </is>
      </c>
      <c r="B2" s="6" t="n">
        <v>1754013.44</v>
      </c>
      <c r="C2" s="6" t="n">
        <v>2985477</v>
      </c>
      <c r="D2" s="6" t="n">
        <v>26364.08</v>
      </c>
      <c r="E2" s="6" t="n">
        <v>14457.28</v>
      </c>
      <c r="F2" s="6" t="n">
        <v>3026298.36</v>
      </c>
      <c r="G2" s="7" t="n">
        <v>0.7020999999999999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2" customWidth="1" min="4" max="4"/>
    <col width="22" customWidth="1" min="5" max="5"/>
    <col width="22" customWidth="1" min="6" max="6"/>
    <col width="22" customWidth="1" min="7" max="7"/>
    <col width="20" customWidth="1" min="8" max="8"/>
    <col width="12" customWidth="1" min="9" max="9"/>
  </cols>
  <sheetData>
    <row r="1">
      <c r="A1" s="1" t="inlineStr">
        <is>
          <t>Fecha y Hora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Precio Actual (COP)</t>
        </is>
      </c>
      <c r="F1" s="1" t="inlineStr">
        <is>
          <t>Cierre Previo (COP)</t>
        </is>
      </c>
      <c r="G1" s="1" t="inlineStr">
        <is>
          <t>Variación Día (COP)</t>
        </is>
      </c>
      <c r="H1" s="1" t="inlineStr">
        <is>
          <t>Variación Día (%)</t>
        </is>
      </c>
      <c r="I1" s="1" t="inlineStr">
        <is>
          <t>Volumen</t>
        </is>
      </c>
    </row>
    <row r="2">
      <c r="A2" s="2" t="inlineStr">
        <is>
          <t>2026-09-30 08:30:00</t>
        </is>
      </c>
      <c r="B2" s="2" t="inlineStr">
        <is>
          <t>ECOPETROL</t>
        </is>
      </c>
      <c r="C2" s="3" t="inlineStr">
        <is>
          <t>Ecopetrol S.A.</t>
        </is>
      </c>
      <c r="D2" s="2" t="inlineStr">
        <is>
          <t>BVC</t>
        </is>
      </c>
      <c r="E2" s="6" t="n">
        <v>2740</v>
      </c>
      <c r="F2" s="6" t="n">
        <v>2740</v>
      </c>
      <c r="G2" s="6" t="n">
        <v>0</v>
      </c>
      <c r="H2" s="7" t="n">
        <v>0</v>
      </c>
      <c r="I2" s="15" t="n">
        <v>154200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2026-10-01T01:00:58Z</dcterms:created>
  <dcterms:modified xmlns:dcterms="http://purl.org/dc/terms/" xmlns:xsi="http://www.w3.org/2001/XMLSchema-instance" xsi:type="dcterms:W3CDTF">2026-10-01T01:00:58Z</dcterms:modified>
</cp:coreProperties>
</file>